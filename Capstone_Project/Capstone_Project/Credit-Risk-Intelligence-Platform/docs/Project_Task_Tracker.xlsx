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istrator\Desktop\EY-Training-2026\Capstone_Project\Credit-Risk-Intelligence-Platform\docs\"/>
    </mc:Choice>
  </mc:AlternateContent>
  <xr:revisionPtr revIDLastSave="0" documentId="13_ncr:1_{A53A8DB1-034B-428B-A1CC-AE959E3BC157}" xr6:coauthVersionLast="47" xr6:coauthVersionMax="47" xr10:uidLastSave="{00000000-0000-0000-0000-000000000000}"/>
  <bookViews>
    <workbookView xWindow="-120" yWindow="-120" windowWidth="19320" windowHeight="9660" tabRatio="500" xr2:uid="{00000000-000D-0000-FFFF-FFFF00000000}"/>
  </bookViews>
  <sheets>
    <sheet name="Tasks" sheetId="1" r:id="rId1"/>
    <sheet name="Summary" sheetId="2" r:id="rId2"/>
  </sheets>
  <definedNames>
    <definedName name="_xlnm._FilterDatabase" localSheetId="0" hidden="1">Tasks!$A$1:$E$46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</calcChain>
</file>

<file path=xl/sharedStrings.xml><?xml version="1.0" encoding="utf-8"?>
<sst xmlns="http://schemas.openxmlformats.org/spreadsheetml/2006/main" count="207" uniqueCount="119">
  <si>
    <t>Day</t>
  </si>
  <si>
    <t>Task Name</t>
  </si>
  <si>
    <t>Owner</t>
  </si>
  <si>
    <t>Status</t>
  </si>
  <si>
    <t>Source (PPT / Project)</t>
  </si>
  <si>
    <t>Day 1</t>
  </si>
  <si>
    <t>PRD</t>
  </si>
  <si>
    <t>Both</t>
  </si>
  <si>
    <t>Done</t>
  </si>
  <si>
    <t>PPT Slide 8 - The Problem / Our Solution defined</t>
  </si>
  <si>
    <t>Market Research</t>
  </si>
  <si>
    <t>PPT Slide 8 - Manual review, human error, slow decisions, revenue loss identified</t>
  </si>
  <si>
    <t>Github repo setup</t>
  </si>
  <si>
    <t>Ashu</t>
  </si>
  <si>
    <t>PPT Slide 19 - github.com/Chaurasiyakash0136/EY-Training-2026</t>
  </si>
  <si>
    <t>Environment setup</t>
  </si>
  <si>
    <t>Akash</t>
  </si>
  <si>
    <t>PPT Slide 8 - Tech stack: Streamlit, LangChain, Pinecone, Docker, Azure, LangSmith, OpenAI</t>
  </si>
  <si>
    <t>Design Doc : Roadmap</t>
  </si>
  <si>
    <t>PPT Slide 9 - System Architecture (UI/Orchestrator/AI/Data/Cloud layers)</t>
  </si>
  <si>
    <t>Design choice evaluation</t>
  </si>
  <si>
    <t>PPT Slide 9 - 3-tier LLM fallback chain, hybrid BM25+vector retrieval design</t>
  </si>
  <si>
    <t>Day 2</t>
  </si>
  <si>
    <t>RAG Ingestion (loader, chunker, vector store)</t>
  </si>
  <si>
    <t>PPT Slide 13 - RAG Pipeline steps 2-4: Extract Text, Chunk+Embed, Store Vectors (Pinecone)</t>
  </si>
  <si>
    <t>Agents Development (Document / Retrieval / Chat agents + Orchestrator)</t>
  </si>
  <si>
    <t>PPT Slide 9 - Orchestrator with Chat/Document/Retrieval Agents</t>
  </si>
  <si>
    <t>FastAPI Endpoint development</t>
  </si>
  <si>
    <t>PPT Slide 13 - RAG pipeline step 7-9: LLM Call, Validate, Display</t>
  </si>
  <si>
    <t>Differentiator Feature: Retirement Planner module</t>
  </si>
  <si>
    <t>PPT Slide 10 &amp; 12 - Retirement Planner, 40-city cost of living</t>
  </si>
  <si>
    <t>Guardrails Implementation (input validation, prompt-injection defence, PII checks)</t>
  </si>
  <si>
    <t>PPT Slide 17 - Security &amp; Compliance implemented</t>
  </si>
  <si>
    <t>Evaluation framework code (RAGAS + DeepEval runners)</t>
  </si>
  <si>
    <t>PPT Slide 14 - DeepEval hallucination detection + RAGAS faithfulness/relevancy framework</t>
  </si>
  <si>
    <t>Run Evaluation on sample Q&amp;A pairs + generate report</t>
  </si>
  <si>
    <t>PPT Slide 14 - DeepEval 0.22, RAGAS 0.88 published</t>
  </si>
  <si>
    <t>Observability setup (LangSmith tracing enabled &amp; verified)</t>
  </si>
  <si>
    <t>PPT Slide 15 - LangSmith tracing live</t>
  </si>
  <si>
    <t>Logging implementation (app + error logs)</t>
  </si>
  <si>
    <t>PPT Slide 15 - LangSmith full request tracing: auth, document_processing, risk analysis, retrieval, chat</t>
  </si>
  <si>
    <t>Production testing scenarios (failure cases, edge cases, malformed PDFs)</t>
  </si>
  <si>
    <t>PPT Slide 16 - Lessons Learned covers real failure cases found &amp; fixed</t>
  </si>
  <si>
    <t>Day 3</t>
  </si>
  <si>
    <t>Backend E2E testing</t>
  </si>
  <si>
    <t>PPT Slide 14 - 96 unit tests, all passing</t>
  </si>
  <si>
    <t>Code evaluation for design choices (review against PRD/Design Doc)</t>
  </si>
  <si>
    <t>PPT Slide 17 - EY Coding Guidelines mapping documented</t>
  </si>
  <si>
    <t>GitHub submission (push final code, clean commit history)</t>
  </si>
  <si>
    <t>PPT Slide 19 - git tag v1.0 pushed to main branch</t>
  </si>
  <si>
    <t>Frontend development (Streamlit UI)</t>
  </si>
  <si>
    <t>PPT Slide 9 - UI Layer: Streamlit Web App, Auth, Customer + Institution Views</t>
  </si>
  <si>
    <t>Streamlit widget definition (forms, charts, buttons per page)</t>
  </si>
  <si>
    <t>PPT Slide 10-12 - Feature screens: upload, risk analysis, recommendations, chat, retirement</t>
  </si>
  <si>
    <t>Integration — Connect frontend to backend agents / orchestrator</t>
  </si>
  <si>
    <t>PPT Slide 9 - System Architecture data flow: UI -&gt; Orchestrator -&gt; AI/LLM -&gt; Data Layer</t>
  </si>
  <si>
    <t>Serving through FastAPI (wire external clients + test endpoints)</t>
  </si>
  <si>
    <t>PPT Slide 13 - RAG pipeline live end-to-end</t>
  </si>
  <si>
    <t>Full system end-to-end testing</t>
  </si>
  <si>
    <t>PPT Slide 10 - customer + institution flows verified</t>
  </si>
  <si>
    <t>Demo</t>
  </si>
  <si>
    <t>PPT Slide 18 - Open Floor Q&amp;A conducted</t>
  </si>
  <si>
    <t>Day 4</t>
  </si>
  <si>
    <t>Finalize Guardrails (prompt-injection, PII checks) + unit tests</t>
  </si>
  <si>
    <t>PPT Slide 17 - Security &amp; Compliance: JWT+bcrypt auth, 13 secure env settings kept out of image</t>
  </si>
  <si>
    <t>Complete Evaluation run on full Q&amp;A set + publish report</t>
  </si>
  <si>
    <t>PPT Slide 14 - DeepEval 0.22 hallucination score (bad profile), RAGAS 0.88 faithfulness score</t>
  </si>
  <si>
    <t>Production/edge-case testing (malformed PDFs, failure paths)</t>
  </si>
  <si>
    <t>PPT Slide 16 - Lessons Learned: hallucination, Python 3.11/Docker, LLM reliability issues found &amp; fixed</t>
  </si>
  <si>
    <t>Close Backend E2E testing (remaining scenarios)</t>
  </si>
  <si>
    <t>PPT Slide 14 - 96 unit tests across every module, all passing in CI</t>
  </si>
  <si>
    <t>Finish RAG pipeline serving + endpoint tests</t>
  </si>
  <si>
    <t>PPT Slide 13 - Full 9-step RAG pipeline (Upload to Display) live end-to-end</t>
  </si>
  <si>
    <t>LLM fallback chain reliability fix (OpenAI/Groq/Gemini)</t>
  </si>
  <si>
    <t>PPT Slide 16 - Lessons Learned: 3-tier fallback chain solved provider reliability</t>
  </si>
  <si>
    <t>Verify LangSmith observability on live Azure app</t>
  </si>
  <si>
    <t>PPT Slide 15 - LangSmith full request tracing live (auth, document_processing, run_risk_analysis, retrieval_agent, chat_agent)</t>
  </si>
  <si>
    <t>Code review against EY Coding Guidelines</t>
  </si>
  <si>
    <t>PPT Slide 17 - Naming Conventions, Code Reviews, Documentation, Testing, Version Control all mapped</t>
  </si>
  <si>
    <t>Final GitHub submission - clean commit history + tag v1.0</t>
  </si>
  <si>
    <t>PPT Slide 19 - git tag v1.0, main branch, github.com/Chaurasiyakash0136/EY-Training-2026</t>
  </si>
  <si>
    <t>Docker build verification + container deploy pipeline</t>
  </si>
  <si>
    <t>PPT Slide 15 - Automated CI/CD: git push -&gt; 96 tests -&gt; Docker build -&gt; push to ACR -&gt; deploy</t>
  </si>
  <si>
    <t>Azure deployment finalized (App Service, ACR, env vars)</t>
  </si>
  <si>
    <t>PPT Slide 15 - creditriskakash7272.azurecr.io, App Service Plan B2, 13 secure env vars</t>
  </si>
  <si>
    <t>Day 5</t>
  </si>
  <si>
    <t>Full system end-to-end testing (customer + institution flows)</t>
  </si>
  <si>
    <t>PPT Slide 10 - both Customer and Bank Officer views verified end-to-end</t>
  </si>
  <si>
    <t>Bug fixes - Python 3.11/Docker SyntaxError, Azure CI/CD permissions</t>
  </si>
  <si>
    <t>PPT Slide 16 - Hardest Problems, both marked resolved</t>
  </si>
  <si>
    <t>Live Azure deployment verification</t>
  </si>
  <si>
    <t>PPT Slide 1 &amp; 19 - Live App: creditriskplatform.azurewebsites.net</t>
  </si>
  <si>
    <t>CI/CD pipeline final verification (tests + build + deploy)</t>
  </si>
  <si>
    <t>PPT Slide 15 - Automated pipeline confirmed live end-to-end</t>
  </si>
  <si>
    <t>Finalize documentation (EY guidelines mapping, lessons learned)</t>
  </si>
  <si>
    <t>PPT Slide 16 &amp; 17 - Lessons Learned and EY Guidelines in Practice documented</t>
  </si>
  <si>
    <t>Prepare demo narrative (Rohan's Story walkthrough)</t>
  </si>
  <si>
    <t>PPT Slides 2-7 - full customer-story narrative built for demo</t>
  </si>
  <si>
    <t>Final Demo / Presentation delivered</t>
  </si>
  <si>
    <t>Project retrospective - what worked / what we'd do differently</t>
  </si>
  <si>
    <t>PPT Slide 16 - What Worked &amp; What We'd Do Differently documented</t>
  </si>
  <si>
    <t>Final submission - version tagged, links shared</t>
  </si>
  <si>
    <t>PPT Slide 19 - Live App, GitHub, LangSmith, git tag v1.0 all shared at submission</t>
  </si>
  <si>
    <t>Credit Risk Intelligence Platform — 5-Day Capstone Tracker Summary</t>
  </si>
  <si>
    <t>Team Members</t>
  </si>
  <si>
    <t>Akash Chaurasiya, Ashu Sharma</t>
  </si>
  <si>
    <t>Duration</t>
  </si>
  <si>
    <t>5 Days</t>
  </si>
  <si>
    <t>Project Status</t>
  </si>
  <si>
    <t>Completed &amp; Deployed</t>
  </si>
  <si>
    <t>Live App</t>
  </si>
  <si>
    <t>creditriskplatform.azurewebsites.net</t>
  </si>
  <si>
    <t>GitHub Repo</t>
  </si>
  <si>
    <t>github.com/Chaurasiyakash0136/EY-Training-2026 (tag v1.0)</t>
  </si>
  <si>
    <t>Total Tasks</t>
  </si>
  <si>
    <t>Completion %</t>
  </si>
  <si>
    <t>Akash - task count</t>
  </si>
  <si>
    <t>Ashu - task count</t>
  </si>
  <si>
    <t>Shared (Both) - task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</si>
</sst>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3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9" fontId="3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abSelected="1" zoomScaleNormal="100" workbookViewId="0">
      <pane ySplit="1" topLeftCell="A2" activePane="bottomLeft" state="frozen"/>
      <selection pane="bottomLeft" activeCell="G13" sqref="G13"/>
    </sheetView>
  </sheetViews>
  <sheetFormatPr defaultColWidth="8.7109375" defaultRowHeight="15" x14ac:dyDescent="0.25"/>
  <cols>
    <col min="1" max="1" width="10" customWidth="1"/>
    <col min="2" max="2" width="55" customWidth="1"/>
    <col min="3" max="3" width="10" customWidth="1"/>
    <col min="4" max="4" width="14" customWidth="1"/>
    <col min="5" max="5" width="45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x14ac:dyDescent="0.25">
      <c r="A2" s="7" t="s">
        <v>5</v>
      </c>
      <c r="B2" s="5" t="s">
        <v>6</v>
      </c>
      <c r="C2" s="5" t="s">
        <v>7</v>
      </c>
      <c r="D2" s="6" t="s">
        <v>8</v>
      </c>
      <c r="E2" s="5" t="s">
        <v>9</v>
      </c>
    </row>
    <row r="3" spans="1:5" ht="25.5" x14ac:dyDescent="0.25">
      <c r="A3" s="7"/>
      <c r="B3" s="5" t="s">
        <v>10</v>
      </c>
      <c r="C3" s="5" t="s">
        <v>7</v>
      </c>
      <c r="D3" s="6" t="s">
        <v>8</v>
      </c>
      <c r="E3" s="5" t="s">
        <v>11</v>
      </c>
    </row>
    <row r="4" spans="1:5" ht="25.5" x14ac:dyDescent="0.25">
      <c r="A4" s="7"/>
      <c r="B4" s="5" t="s">
        <v>12</v>
      </c>
      <c r="C4" s="5" t="s">
        <v>16</v>
      </c>
      <c r="D4" s="6" t="s">
        <v>8</v>
      </c>
      <c r="E4" s="5" t="s">
        <v>14</v>
      </c>
    </row>
    <row r="5" spans="1:5" ht="25.5" x14ac:dyDescent="0.25">
      <c r="A5" s="7"/>
      <c r="B5" s="5" t="s">
        <v>15</v>
      </c>
      <c r="C5" s="5" t="s">
        <v>16</v>
      </c>
      <c r="D5" s="6" t="s">
        <v>8</v>
      </c>
      <c r="E5" s="5" t="s">
        <v>17</v>
      </c>
    </row>
    <row r="6" spans="1:5" ht="25.5" x14ac:dyDescent="0.25">
      <c r="A6" s="7"/>
      <c r="B6" s="5" t="s">
        <v>18</v>
      </c>
      <c r="C6" s="5" t="s">
        <v>7</v>
      </c>
      <c r="D6" s="6" t="s">
        <v>8</v>
      </c>
      <c r="E6" s="5" t="s">
        <v>19</v>
      </c>
    </row>
    <row r="7" spans="1:5" ht="25.5" x14ac:dyDescent="0.25">
      <c r="A7" s="7"/>
      <c r="B7" s="5" t="s">
        <v>20</v>
      </c>
      <c r="C7" s="5" t="s">
        <v>7</v>
      </c>
      <c r="D7" s="6" t="s">
        <v>8</v>
      </c>
      <c r="E7" s="5" t="s">
        <v>21</v>
      </c>
    </row>
    <row r="8" spans="1:5" ht="25.5" x14ac:dyDescent="0.25">
      <c r="A8" s="7" t="s">
        <v>22</v>
      </c>
      <c r="B8" s="5" t="s">
        <v>23</v>
      </c>
      <c r="C8" s="5" t="s">
        <v>16</v>
      </c>
      <c r="D8" s="6" t="s">
        <v>8</v>
      </c>
      <c r="E8" s="5" t="s">
        <v>24</v>
      </c>
    </row>
    <row r="9" spans="1:5" ht="25.5" x14ac:dyDescent="0.25">
      <c r="A9" s="7"/>
      <c r="B9" s="5" t="s">
        <v>25</v>
      </c>
      <c r="C9" s="5" t="s">
        <v>16</v>
      </c>
      <c r="D9" s="6" t="s">
        <v>8</v>
      </c>
      <c r="E9" s="5" t="s">
        <v>26</v>
      </c>
    </row>
    <row r="10" spans="1:5" ht="25.5" x14ac:dyDescent="0.25">
      <c r="A10" s="7"/>
      <c r="B10" s="5" t="s">
        <v>27</v>
      </c>
      <c r="C10" s="5" t="s">
        <v>16</v>
      </c>
      <c r="D10" s="6" t="s">
        <v>8</v>
      </c>
      <c r="E10" s="5" t="s">
        <v>28</v>
      </c>
    </row>
    <row r="11" spans="1:5" ht="25.5" x14ac:dyDescent="0.25">
      <c r="A11" s="7"/>
      <c r="B11" s="5" t="s">
        <v>29</v>
      </c>
      <c r="C11" s="5" t="s">
        <v>16</v>
      </c>
      <c r="D11" s="6" t="s">
        <v>8</v>
      </c>
      <c r="E11" s="5" t="s">
        <v>30</v>
      </c>
    </row>
    <row r="12" spans="1:5" ht="25.5" x14ac:dyDescent="0.25">
      <c r="A12" s="7"/>
      <c r="B12" s="5" t="s">
        <v>31</v>
      </c>
      <c r="C12" s="5" t="s">
        <v>16</v>
      </c>
      <c r="D12" s="6" t="s">
        <v>8</v>
      </c>
      <c r="E12" s="5" t="s">
        <v>32</v>
      </c>
    </row>
    <row r="13" spans="1:5" ht="25.5" x14ac:dyDescent="0.25">
      <c r="A13" s="7"/>
      <c r="B13" s="5" t="s">
        <v>33</v>
      </c>
      <c r="C13" s="5" t="s">
        <v>13</v>
      </c>
      <c r="D13" s="6" t="s">
        <v>8</v>
      </c>
      <c r="E13" s="5" t="s">
        <v>34</v>
      </c>
    </row>
    <row r="14" spans="1:5" ht="25.5" x14ac:dyDescent="0.25">
      <c r="A14" s="7"/>
      <c r="B14" s="5" t="s">
        <v>35</v>
      </c>
      <c r="C14" s="5" t="s">
        <v>16</v>
      </c>
      <c r="D14" s="6" t="s">
        <v>8</v>
      </c>
      <c r="E14" s="5" t="s">
        <v>36</v>
      </c>
    </row>
    <row r="15" spans="1:5" x14ac:dyDescent="0.25">
      <c r="A15" s="7"/>
      <c r="B15" s="5" t="s">
        <v>37</v>
      </c>
      <c r="C15" s="5" t="s">
        <v>13</v>
      </c>
      <c r="D15" s="6" t="s">
        <v>8</v>
      </c>
      <c r="E15" s="5" t="s">
        <v>38</v>
      </c>
    </row>
    <row r="16" spans="1:5" ht="25.5" x14ac:dyDescent="0.25">
      <c r="A16" s="7"/>
      <c r="B16" s="5" t="s">
        <v>39</v>
      </c>
      <c r="C16" s="5" t="s">
        <v>13</v>
      </c>
      <c r="D16" s="6" t="s">
        <v>8</v>
      </c>
      <c r="E16" s="5" t="s">
        <v>40</v>
      </c>
    </row>
    <row r="17" spans="1:5" ht="25.5" x14ac:dyDescent="0.25">
      <c r="A17" s="7"/>
      <c r="B17" s="5" t="s">
        <v>41</v>
      </c>
      <c r="C17" s="5" t="s">
        <v>16</v>
      </c>
      <c r="D17" s="6" t="s">
        <v>8</v>
      </c>
      <c r="E17" s="5" t="s">
        <v>42</v>
      </c>
    </row>
    <row r="18" spans="1:5" x14ac:dyDescent="0.25">
      <c r="A18" s="7" t="s">
        <v>43</v>
      </c>
      <c r="B18" s="5" t="s">
        <v>44</v>
      </c>
      <c r="C18" s="5" t="s">
        <v>16</v>
      </c>
      <c r="D18" s="6" t="s">
        <v>8</v>
      </c>
      <c r="E18" s="5" t="s">
        <v>45</v>
      </c>
    </row>
    <row r="19" spans="1:5" ht="25.5" x14ac:dyDescent="0.25">
      <c r="A19" s="7"/>
      <c r="B19" s="5" t="s">
        <v>46</v>
      </c>
      <c r="C19" s="5" t="s">
        <v>13</v>
      </c>
      <c r="D19" s="6" t="s">
        <v>8</v>
      </c>
      <c r="E19" s="5" t="s">
        <v>47</v>
      </c>
    </row>
    <row r="20" spans="1:5" x14ac:dyDescent="0.25">
      <c r="A20" s="7"/>
      <c r="B20" s="5" t="s">
        <v>48</v>
      </c>
      <c r="C20" s="5" t="s">
        <v>13</v>
      </c>
      <c r="D20" s="6" t="s">
        <v>8</v>
      </c>
      <c r="E20" s="5" t="s">
        <v>49</v>
      </c>
    </row>
    <row r="21" spans="1:5" ht="25.5" x14ac:dyDescent="0.25">
      <c r="A21" s="7"/>
      <c r="B21" s="5" t="s">
        <v>50</v>
      </c>
      <c r="C21" s="5" t="s">
        <v>13</v>
      </c>
      <c r="D21" s="6" t="s">
        <v>8</v>
      </c>
      <c r="E21" s="5" t="s">
        <v>51</v>
      </c>
    </row>
    <row r="22" spans="1:5" ht="25.5" x14ac:dyDescent="0.25">
      <c r="A22" s="7"/>
      <c r="B22" s="5" t="s">
        <v>52</v>
      </c>
      <c r="C22" s="5" t="s">
        <v>13</v>
      </c>
      <c r="D22" s="6" t="s">
        <v>8</v>
      </c>
      <c r="E22" s="5" t="s">
        <v>53</v>
      </c>
    </row>
    <row r="23" spans="1:5" ht="25.5" x14ac:dyDescent="0.25">
      <c r="A23" s="7"/>
      <c r="B23" s="5" t="s">
        <v>54</v>
      </c>
      <c r="C23" s="5" t="s">
        <v>16</v>
      </c>
      <c r="D23" s="6" t="s">
        <v>8</v>
      </c>
      <c r="E23" s="5" t="s">
        <v>55</v>
      </c>
    </row>
    <row r="24" spans="1:5" x14ac:dyDescent="0.25">
      <c r="A24" s="7"/>
      <c r="B24" s="5" t="s">
        <v>56</v>
      </c>
      <c r="C24" s="5" t="s">
        <v>16</v>
      </c>
      <c r="D24" s="6" t="s">
        <v>8</v>
      </c>
      <c r="E24" s="5" t="s">
        <v>57</v>
      </c>
    </row>
    <row r="25" spans="1:5" x14ac:dyDescent="0.25">
      <c r="A25" s="7"/>
      <c r="B25" s="5" t="s">
        <v>58</v>
      </c>
      <c r="C25" s="5" t="s">
        <v>7</v>
      </c>
      <c r="D25" s="6" t="s">
        <v>8</v>
      </c>
      <c r="E25" s="5" t="s">
        <v>59</v>
      </c>
    </row>
    <row r="26" spans="1:5" x14ac:dyDescent="0.25">
      <c r="A26" s="7"/>
      <c r="B26" s="5" t="s">
        <v>60</v>
      </c>
      <c r="C26" s="5" t="s">
        <v>7</v>
      </c>
      <c r="D26" s="6" t="s">
        <v>8</v>
      </c>
      <c r="E26" s="5" t="s">
        <v>61</v>
      </c>
    </row>
    <row r="27" spans="1:5" ht="25.5" x14ac:dyDescent="0.25">
      <c r="A27" s="7" t="s">
        <v>62</v>
      </c>
      <c r="B27" s="5" t="s">
        <v>63</v>
      </c>
      <c r="C27" s="5" t="s">
        <v>16</v>
      </c>
      <c r="D27" s="6" t="s">
        <v>8</v>
      </c>
      <c r="E27" s="5" t="s">
        <v>64</v>
      </c>
    </row>
    <row r="28" spans="1:5" ht="25.5" x14ac:dyDescent="0.25">
      <c r="A28" s="7"/>
      <c r="B28" s="5" t="s">
        <v>65</v>
      </c>
      <c r="C28" s="5" t="s">
        <v>16</v>
      </c>
      <c r="D28" s="6" t="s">
        <v>8</v>
      </c>
      <c r="E28" s="5" t="s">
        <v>66</v>
      </c>
    </row>
    <row r="29" spans="1:5" ht="38.25" x14ac:dyDescent="0.25">
      <c r="A29" s="7"/>
      <c r="B29" s="5" t="s">
        <v>67</v>
      </c>
      <c r="C29" s="5" t="s">
        <v>16</v>
      </c>
      <c r="D29" s="6" t="s">
        <v>8</v>
      </c>
      <c r="E29" s="5" t="s">
        <v>68</v>
      </c>
    </row>
    <row r="30" spans="1:5" ht="25.5" x14ac:dyDescent="0.25">
      <c r="A30" s="7"/>
      <c r="B30" s="5" t="s">
        <v>69</v>
      </c>
      <c r="C30" s="5" t="s">
        <v>16</v>
      </c>
      <c r="D30" s="6" t="s">
        <v>8</v>
      </c>
      <c r="E30" s="5" t="s">
        <v>70</v>
      </c>
    </row>
    <row r="31" spans="1:5" ht="25.5" x14ac:dyDescent="0.25">
      <c r="A31" s="7"/>
      <c r="B31" s="5" t="s">
        <v>71</v>
      </c>
      <c r="C31" s="5" t="s">
        <v>16</v>
      </c>
      <c r="D31" s="6" t="s">
        <v>8</v>
      </c>
      <c r="E31" s="5" t="s">
        <v>72</v>
      </c>
    </row>
    <row r="32" spans="1:5" ht="25.5" x14ac:dyDescent="0.25">
      <c r="A32" s="7"/>
      <c r="B32" s="5" t="s">
        <v>73</v>
      </c>
      <c r="C32" s="5" t="s">
        <v>16</v>
      </c>
      <c r="D32" s="6" t="s">
        <v>8</v>
      </c>
      <c r="E32" s="5" t="s">
        <v>74</v>
      </c>
    </row>
    <row r="33" spans="1:5" ht="38.25" x14ac:dyDescent="0.25">
      <c r="A33" s="7"/>
      <c r="B33" s="5" t="s">
        <v>75</v>
      </c>
      <c r="C33" s="5" t="s">
        <v>13</v>
      </c>
      <c r="D33" s="6" t="s">
        <v>8</v>
      </c>
      <c r="E33" s="5" t="s">
        <v>76</v>
      </c>
    </row>
    <row r="34" spans="1:5" ht="38.25" x14ac:dyDescent="0.25">
      <c r="A34" s="7"/>
      <c r="B34" s="5" t="s">
        <v>77</v>
      </c>
      <c r="C34" s="5" t="s">
        <v>13</v>
      </c>
      <c r="D34" s="6" t="s">
        <v>8</v>
      </c>
      <c r="E34" s="5" t="s">
        <v>78</v>
      </c>
    </row>
    <row r="35" spans="1:5" ht="25.5" x14ac:dyDescent="0.25">
      <c r="A35" s="7"/>
      <c r="B35" s="5" t="s">
        <v>79</v>
      </c>
      <c r="C35" s="5" t="s">
        <v>13</v>
      </c>
      <c r="D35" s="6" t="s">
        <v>8</v>
      </c>
      <c r="E35" s="5" t="s">
        <v>80</v>
      </c>
    </row>
    <row r="36" spans="1:5" ht="25.5" x14ac:dyDescent="0.25">
      <c r="A36" s="7"/>
      <c r="B36" s="5" t="s">
        <v>81</v>
      </c>
      <c r="C36" s="5" t="s">
        <v>13</v>
      </c>
      <c r="D36" s="6" t="s">
        <v>8</v>
      </c>
      <c r="E36" s="5" t="s">
        <v>82</v>
      </c>
    </row>
    <row r="37" spans="1:5" ht="25.5" x14ac:dyDescent="0.25">
      <c r="A37" s="7"/>
      <c r="B37" s="5" t="s">
        <v>83</v>
      </c>
      <c r="C37" s="5" t="s">
        <v>13</v>
      </c>
      <c r="D37" s="6" t="s">
        <v>8</v>
      </c>
      <c r="E37" s="5" t="s">
        <v>84</v>
      </c>
    </row>
    <row r="38" spans="1:5" ht="25.5" x14ac:dyDescent="0.25">
      <c r="A38" s="7" t="s">
        <v>85</v>
      </c>
      <c r="B38" s="5" t="s">
        <v>86</v>
      </c>
      <c r="C38" s="5" t="s">
        <v>7</v>
      </c>
      <c r="D38" s="6" t="s">
        <v>8</v>
      </c>
      <c r="E38" s="5" t="s">
        <v>87</v>
      </c>
    </row>
    <row r="39" spans="1:5" ht="25.5" x14ac:dyDescent="0.25">
      <c r="A39" s="7"/>
      <c r="B39" s="5" t="s">
        <v>88</v>
      </c>
      <c r="C39" s="5" t="s">
        <v>7</v>
      </c>
      <c r="D39" s="6" t="s">
        <v>8</v>
      </c>
      <c r="E39" s="5" t="s">
        <v>89</v>
      </c>
    </row>
    <row r="40" spans="1:5" ht="25.5" x14ac:dyDescent="0.25">
      <c r="A40" s="7"/>
      <c r="B40" s="5" t="s">
        <v>90</v>
      </c>
      <c r="C40" s="5" t="s">
        <v>13</v>
      </c>
      <c r="D40" s="6" t="s">
        <v>8</v>
      </c>
      <c r="E40" s="5" t="s">
        <v>91</v>
      </c>
    </row>
    <row r="41" spans="1:5" ht="25.5" x14ac:dyDescent="0.25">
      <c r="A41" s="7"/>
      <c r="B41" s="5" t="s">
        <v>92</v>
      </c>
      <c r="C41" s="5" t="s">
        <v>13</v>
      </c>
      <c r="D41" s="6" t="s">
        <v>8</v>
      </c>
      <c r="E41" s="5" t="s">
        <v>93</v>
      </c>
    </row>
    <row r="42" spans="1:5" ht="25.5" x14ac:dyDescent="0.25">
      <c r="A42" s="7"/>
      <c r="B42" s="5" t="s">
        <v>94</v>
      </c>
      <c r="C42" s="5" t="s">
        <v>16</v>
      </c>
      <c r="D42" s="6" t="s">
        <v>8</v>
      </c>
      <c r="E42" s="5" t="s">
        <v>95</v>
      </c>
    </row>
    <row r="43" spans="1:5" ht="25.5" x14ac:dyDescent="0.25">
      <c r="A43" s="7"/>
      <c r="B43" s="5" t="s">
        <v>96</v>
      </c>
      <c r="C43" s="5" t="s">
        <v>7</v>
      </c>
      <c r="D43" s="6" t="s">
        <v>8</v>
      </c>
      <c r="E43" s="5" t="s">
        <v>97</v>
      </c>
    </row>
    <row r="44" spans="1:5" x14ac:dyDescent="0.25">
      <c r="A44" s="7"/>
      <c r="B44" s="5" t="s">
        <v>98</v>
      </c>
      <c r="C44" s="5" t="s">
        <v>7</v>
      </c>
      <c r="D44" s="6" t="s">
        <v>8</v>
      </c>
      <c r="E44" s="5" t="s">
        <v>61</v>
      </c>
    </row>
    <row r="45" spans="1:5" ht="25.5" x14ac:dyDescent="0.25">
      <c r="A45" s="7"/>
      <c r="B45" s="5" t="s">
        <v>99</v>
      </c>
      <c r="C45" s="5" t="s">
        <v>7</v>
      </c>
      <c r="D45" s="6" t="s">
        <v>8</v>
      </c>
      <c r="E45" s="5" t="s">
        <v>100</v>
      </c>
    </row>
    <row r="46" spans="1:5" ht="25.5" x14ac:dyDescent="0.25">
      <c r="A46" s="7"/>
      <c r="B46" s="5" t="s">
        <v>101</v>
      </c>
      <c r="C46" s="5" t="s">
        <v>7</v>
      </c>
      <c r="D46" s="6" t="s">
        <v>8</v>
      </c>
      <c r="E46" s="5" t="s">
        <v>102</v>
      </c>
    </row>
  </sheetData>
  <autoFilter ref="A1:E46" xr:uid="{00000000-0009-0000-0000-000000000000}"/>
  <mergeCells count="5">
    <mergeCell ref="A2:A7"/>
    <mergeCell ref="A8:A17"/>
    <mergeCell ref="A18:A26"/>
    <mergeCell ref="A27:A37"/>
    <mergeCell ref="A38:A4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40" customWidth="1"/>
  </cols>
  <sheetData>
    <row r="1" spans="1:4" ht="16.5" x14ac:dyDescent="0.25">
      <c r="A1" s="8" t="s">
        <v>103</v>
      </c>
      <c r="B1" s="8"/>
      <c r="C1" s="8"/>
      <c r="D1" s="8"/>
    </row>
    <row r="3" spans="1:4" x14ac:dyDescent="0.25">
      <c r="A3" s="1" t="s">
        <v>104</v>
      </c>
      <c r="B3" s="2" t="s">
        <v>105</v>
      </c>
    </row>
    <row r="4" spans="1:4" x14ac:dyDescent="0.25">
      <c r="A4" s="1" t="s">
        <v>106</v>
      </c>
      <c r="B4" s="2" t="s">
        <v>107</v>
      </c>
    </row>
    <row r="5" spans="1:4" x14ac:dyDescent="0.25">
      <c r="A5" s="1" t="s">
        <v>108</v>
      </c>
      <c r="B5" s="2" t="s">
        <v>109</v>
      </c>
    </row>
    <row r="6" spans="1:4" x14ac:dyDescent="0.25">
      <c r="A6" s="1" t="s">
        <v>110</v>
      </c>
      <c r="B6" s="2" t="s">
        <v>111</v>
      </c>
    </row>
    <row r="7" spans="1:4" x14ac:dyDescent="0.25">
      <c r="A7" s="1" t="s">
        <v>112</v>
      </c>
      <c r="B7" s="2" t="s">
        <v>113</v>
      </c>
    </row>
    <row r="8" spans="1:4" x14ac:dyDescent="0.25">
      <c r="A8" s="1" t="s">
        <v>114</v>
      </c>
      <c r="B8" s="2">
        <f>COUNTA(Tasks!B2:B46)</f>
        <v>45</v>
      </c>
    </row>
    <row r="9" spans="1:4" x14ac:dyDescent="0.25">
      <c r="A9" s="1" t="s">
        <v>8</v>
      </c>
      <c r="B9" s="2">
        <f>COUNTIF(Tasks!D2:D46,"Done")</f>
        <v>45</v>
      </c>
    </row>
    <row r="10" spans="1:4" x14ac:dyDescent="0.25">
      <c r="A10" s="1" t="s">
        <v>115</v>
      </c>
      <c r="B10" s="3">
        <f>COUNTIF(Tasks!D2:D46,"Done")/COUNTA(Tasks!B2:B46)</f>
        <v>1</v>
      </c>
    </row>
    <row r="11" spans="1:4" x14ac:dyDescent="0.25">
      <c r="A11" s="1" t="s">
        <v>116</v>
      </c>
      <c r="B11" s="2">
        <f>COUNTIF(Tasks!C2:C46,"Akash")</f>
        <v>19</v>
      </c>
    </row>
    <row r="12" spans="1:4" x14ac:dyDescent="0.25">
      <c r="A12" s="1" t="s">
        <v>117</v>
      </c>
      <c r="B12" s="2">
        <f>COUNTIF(Tasks!C2:C46,"Ashu")</f>
        <v>14</v>
      </c>
    </row>
    <row r="13" spans="1:4" x14ac:dyDescent="0.25">
      <c r="A13" s="1" t="s">
        <v>118</v>
      </c>
      <c r="B13" s="2">
        <f>COUNTIF(Tasks!C2:C46,"Both")</f>
        <v>12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azuser7270_mml.local</cp:lastModifiedBy>
  <cp:revision>0</cp:revision>
  <dcterms:created xsi:type="dcterms:W3CDTF">2026-07-08T07:16:41Z</dcterms:created>
  <dcterms:modified xsi:type="dcterms:W3CDTF">2026-07-08T07:30:54Z</dcterms:modified>
  <dc:language>en-US</dc:language>
</cp:coreProperties>
</file>